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UOC-2025-2\CAPSTONE\FASE3\DOCUMENTOS FASE3\"/>
    </mc:Choice>
  </mc:AlternateContent>
  <bookViews>
    <workbookView xWindow="0" yWindow="0" windowWidth="20490" windowHeight="7755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F27" i="1"/>
  <c r="D45" i="1"/>
  <c r="D44" i="1"/>
  <c r="D42" i="1"/>
  <c r="D40" i="1"/>
  <c r="D32" i="1"/>
  <c r="D31" i="1"/>
  <c r="D29" i="1"/>
  <c r="D27" i="1"/>
  <c r="F19" i="1"/>
  <c r="G19" i="1" s="1"/>
  <c r="D19" i="1"/>
  <c r="E19" i="1" s="1"/>
  <c r="F18" i="1"/>
  <c r="G18" i="1" s="1"/>
  <c r="D18" i="1"/>
  <c r="E18" i="1" s="1"/>
  <c r="G17" i="1"/>
  <c r="E17" i="1"/>
  <c r="F16" i="1"/>
  <c r="G16" i="1" s="1"/>
  <c r="D16" i="1"/>
  <c r="E16" i="1" s="1"/>
  <c r="G15" i="1"/>
  <c r="E15" i="1"/>
  <c r="F14" i="1"/>
  <c r="G14" i="1" s="1"/>
  <c r="D14" i="1"/>
  <c r="E14" i="1" s="1"/>
  <c r="G13" i="1"/>
  <c r="E13" i="1"/>
  <c r="B37" i="1" l="1"/>
  <c r="B24" i="1"/>
  <c r="B11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E45" i="1"/>
  <c r="J44" i="1"/>
  <c r="K44" i="1" s="1"/>
  <c r="H44" i="1"/>
  <c r="I44" i="1" s="1"/>
  <c r="F44" i="1"/>
  <c r="G44" i="1" s="1"/>
  <c r="E44" i="1"/>
  <c r="J43" i="1"/>
  <c r="K43" i="1" s="1"/>
  <c r="H43" i="1"/>
  <c r="I43" i="1" s="1"/>
  <c r="F43" i="1"/>
  <c r="G43" i="1" s="1"/>
  <c r="E43" i="1"/>
  <c r="J42" i="1"/>
  <c r="K42" i="1" s="1"/>
  <c r="H42" i="1"/>
  <c r="I42" i="1" s="1"/>
  <c r="F42" i="1"/>
  <c r="G42" i="1" s="1"/>
  <c r="E42" i="1"/>
  <c r="J41" i="1"/>
  <c r="K41" i="1" s="1"/>
  <c r="H41" i="1"/>
  <c r="I41" i="1" s="1"/>
  <c r="G41" i="1"/>
  <c r="E41" i="1"/>
  <c r="J40" i="1"/>
  <c r="K40" i="1" s="1"/>
  <c r="H40" i="1"/>
  <c r="I40" i="1" s="1"/>
  <c r="G40" i="1"/>
  <c r="E40" i="1"/>
  <c r="J39" i="1"/>
  <c r="K39" i="1" s="1"/>
  <c r="H39" i="1"/>
  <c r="I39" i="1" s="1"/>
  <c r="G39" i="1"/>
  <c r="E39" i="1"/>
  <c r="J32" i="1"/>
  <c r="K32" i="1" s="1"/>
  <c r="H32" i="1"/>
  <c r="I32" i="1" s="1"/>
  <c r="F32" i="1"/>
  <c r="G32" i="1" s="1"/>
  <c r="E32" i="1"/>
  <c r="J31" i="1"/>
  <c r="K31" i="1" s="1"/>
  <c r="H31" i="1"/>
  <c r="I31" i="1" s="1"/>
  <c r="F31" i="1"/>
  <c r="G31" i="1" s="1"/>
  <c r="E31" i="1"/>
  <c r="J30" i="1"/>
  <c r="K30" i="1" s="1"/>
  <c r="H30" i="1"/>
  <c r="I30" i="1" s="1"/>
  <c r="F30" i="1"/>
  <c r="G30" i="1" s="1"/>
  <c r="E30" i="1"/>
  <c r="J29" i="1"/>
  <c r="K29" i="1" s="1"/>
  <c r="H29" i="1"/>
  <c r="I29" i="1" s="1"/>
  <c r="F29" i="1"/>
  <c r="G29" i="1" s="1"/>
  <c r="E29" i="1"/>
  <c r="J28" i="1"/>
  <c r="K28" i="1" s="1"/>
  <c r="H28" i="1"/>
  <c r="I28" i="1" s="1"/>
  <c r="G28" i="1"/>
  <c r="E28" i="1"/>
  <c r="J27" i="1"/>
  <c r="K27" i="1" s="1"/>
  <c r="H27" i="1"/>
  <c r="I27" i="1" s="1"/>
  <c r="G27" i="1"/>
  <c r="E27" i="1"/>
  <c r="J26" i="1"/>
  <c r="K26" i="1" s="1"/>
  <c r="H26" i="1"/>
  <c r="I26" i="1" s="1"/>
  <c r="G26" i="1"/>
  <c r="E26" i="1"/>
  <c r="G46" i="1" l="1"/>
  <c r="E33" i="1"/>
  <c r="G33" i="1"/>
  <c r="K46" i="1"/>
  <c r="I46" i="1"/>
  <c r="E46" i="1"/>
  <c r="I33" i="1"/>
  <c r="K33" i="1"/>
  <c r="C33" i="1" l="1"/>
  <c r="C34" i="1" s="1"/>
  <c r="C5" i="1" s="1"/>
  <c r="C46" i="1"/>
  <c r="C47" i="1" s="1"/>
  <c r="C6" i="1" s="1"/>
  <c r="B14" i="1" l="1"/>
  <c r="B15" i="1"/>
  <c r="B16" i="1"/>
  <c r="B17" i="1"/>
  <c r="B18" i="1"/>
  <c r="B19" i="1"/>
  <c r="H17" i="1" l="1"/>
  <c r="I17" i="1" s="1"/>
  <c r="J17" i="1"/>
  <c r="K17" i="1" s="1"/>
  <c r="J19" i="1"/>
  <c r="K19" i="1" s="1"/>
  <c r="H19" i="1"/>
  <c r="I19" i="1" s="1"/>
  <c r="J18" i="1"/>
  <c r="K18" i="1" s="1"/>
  <c r="H18" i="1"/>
  <c r="I18" i="1" s="1"/>
  <c r="J16" i="1"/>
  <c r="K16" i="1" s="1"/>
  <c r="H16" i="1"/>
  <c r="I16" i="1" s="1"/>
  <c r="J15" i="1"/>
  <c r="K15" i="1" s="1"/>
  <c r="H15" i="1"/>
  <c r="I15" i="1" s="1"/>
  <c r="J14" i="1"/>
  <c r="H14" i="1"/>
  <c r="I14" i="1" s="1"/>
  <c r="J13" i="1"/>
  <c r="K13" i="1" s="1"/>
  <c r="H13" i="1"/>
  <c r="I13" i="1" s="1"/>
  <c r="E20" i="1" l="1"/>
  <c r="G20" i="1"/>
  <c r="I20" i="1"/>
  <c r="K14" i="1"/>
  <c r="K20" i="1" l="1"/>
  <c r="C20" i="1" s="1"/>
  <c r="C21" i="1" s="1"/>
  <c r="C4" i="1" s="1"/>
</calcChain>
</file>

<file path=xl/sharedStrings.xml><?xml version="1.0" encoding="utf-8"?>
<sst xmlns="http://schemas.openxmlformats.org/spreadsheetml/2006/main" count="146" uniqueCount="88">
  <si>
    <t>INTEGRANTES</t>
  </si>
  <si>
    <t>Nota docente asignatura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</si>
  <si>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</si>
  <si>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</si>
  <si>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</si>
  <si>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</si>
  <si>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</si>
  <si>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</si>
  <si>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</si>
  <si>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</si>
  <si>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</si>
  <si>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</si>
  <si>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</si>
  <si>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</si>
  <si>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</si>
  <si>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</si>
  <si>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</si>
  <si>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</si>
  <si>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</si>
  <si>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</si>
  <si>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</si>
  <si>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</si>
  <si>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</si>
  <si>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</si>
  <si>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</si>
  <si>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</si>
  <si>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</si>
  <si>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</si>
  <si>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</si>
  <si>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</si>
  <si>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</si>
  <si>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</si>
  <si>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</si>
  <si>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</si>
  <si>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</si>
  <si>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</si>
  <si>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</si>
  <si>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</si>
  <si>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</si>
  <si>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</si>
  <si>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</si>
  <si>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</si>
  <si>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</si>
  <si>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</si>
  <si>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</si>
  <si>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</si>
  <si>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</si>
  <si>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</si>
  <si>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</si>
  <si>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</si>
  <si>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</si>
  <si>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</si>
  <si>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</si>
  <si>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</si>
  <si>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</si>
  <si>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</si>
  <si>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</si>
  <si>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Modelo Canvas ok</t>
  </si>
  <si>
    <t>ORGANIGRAMA- Stakeholder debe ser el cliente</t>
  </si>
  <si>
    <t>Tecnologías ok</t>
  </si>
  <si>
    <t>Factibilidad económica débil- Deben aportar la figura de negocio para sustentarla en el tiempo</t>
  </si>
  <si>
    <t>Factibilidad legal -ok</t>
  </si>
  <si>
    <t>Control de versiones y control de tareas - ok</t>
  </si>
  <si>
    <t>Planificación - ok</t>
  </si>
  <si>
    <t>Explicación de los procesos muy simple, sin lenguaje técnico y poco detalle en el despliegue en la información de los ticket</t>
  </si>
  <si>
    <t>Poner fuentes de información del contexto de mercado.</t>
  </si>
  <si>
    <t>G4</t>
  </si>
  <si>
    <t>MATIAS MARCHANT</t>
  </si>
  <si>
    <t>ADAN SAGURIE</t>
  </si>
  <si>
    <t>Faltan métricas-  y deben indicar cómo las comprobarán</t>
  </si>
  <si>
    <t>Buen objetivo- aportar algún criterio de aceptación</t>
  </si>
  <si>
    <t>Débil la contextualización de la necesidad emergente</t>
  </si>
  <si>
    <t>Objetivos específicos no se ven bien los textos-mejorar contraste</t>
  </si>
  <si>
    <t>Alcances- más concreto y no diluirse en el discurso no bajar la voz</t>
  </si>
  <si>
    <t>Modelo por Capas - Muy genérico deben declarar componentes por capas</t>
  </si>
  <si>
    <t>Modelamiento UML -OK</t>
  </si>
  <si>
    <t>Vistas de usuarios-Destacar mejor las principales vista de interfaces de usuario, propiedades y propósito de cada una</t>
  </si>
  <si>
    <t>Roadmap-Mejorar visualización del roadmap</t>
  </si>
  <si>
    <t>Restrospectiva- Aportar conceptos claves  y ser más concretos y claros.</t>
  </si>
  <si>
    <t>Destacar ese aspecto de los beneficios que trae generar reportes para la toma de decisiones sobre la plataformas y sus servicios</t>
  </si>
  <si>
    <t>Omiten información sobre como sustentar la aplicación-Modelo de negocio</t>
  </si>
  <si>
    <t>Demostración-. Funcionalidades claves cubiertas- Vista admin ok -Reportes ok muy bien</t>
  </si>
  <si>
    <t>Factibilidad deben aportar un análisis comparativo de tecnologías más idoneas utilizadas</t>
  </si>
  <si>
    <t>Implementar modelo BPMN</t>
  </si>
  <si>
    <t>Metodología del desarrollo -ok</t>
  </si>
  <si>
    <t>X</t>
  </si>
  <si>
    <t>CHRISTIAN LAZCANO</t>
  </si>
  <si>
    <t>CP3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</si>
</sst>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11"/>
      <color theme="0" tint="-0.249977111117893"/>
      <name val="Calibri"/>
      <family val="2"/>
    </font>
    <font>
      <sz val="11"/>
      <color rgb="FFFF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7" fillId="0" borderId="1" xfId="0" applyNumberFormat="1" applyFont="1" applyBorder="1"/>
    <xf numFmtId="0" fontId="4" fillId="3" borderId="2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 vertical="center"/>
    </xf>
    <xf numFmtId="0" fontId="5" fillId="0" borderId="3" xfId="0" applyFont="1" applyBorder="1" applyAlignment="1">
      <alignment horizontal="right" vertical="center" wrapText="1"/>
    </xf>
    <xf numFmtId="0" fontId="5" fillId="0" borderId="16" xfId="0" applyFont="1" applyBorder="1" applyAlignment="1">
      <alignment horizontal="left" vertical="center" wrapText="1"/>
    </xf>
    <xf numFmtId="0" fontId="13" fillId="3" borderId="11" xfId="0" applyFont="1" applyFill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/>
    </xf>
    <xf numFmtId="0" fontId="7" fillId="0" borderId="2" xfId="0" applyFont="1" applyBorder="1"/>
    <xf numFmtId="0" fontId="11" fillId="0" borderId="16" xfId="0" applyFont="1" applyBorder="1" applyAlignment="1">
      <alignment horizontal="justify"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9" fontId="8" fillId="6" borderId="22" xfId="0" applyNumberFormat="1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3" fillId="0" borderId="0" xfId="0" applyFont="1"/>
    <xf numFmtId="0" fontId="12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2" fillId="0" borderId="3" xfId="0" applyFont="1" applyBorder="1" applyAlignment="1"/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9" fillId="3" borderId="4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  <xf numFmtId="0" fontId="17" fillId="4" borderId="2" xfId="0" applyFont="1" applyFill="1" applyBorder="1" applyAlignment="1">
      <alignment horizontal="center" vertical="center" textRotation="255" wrapText="1"/>
    </xf>
    <xf numFmtId="0" fontId="18" fillId="0" borderId="15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18" fillId="0" borderId="3" xfId="0" applyFont="1" applyBorder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2"/>
  <sheetViews>
    <sheetView tabSelected="1" zoomScale="120" zoomScaleNormal="120" workbookViewId="0">
      <selection activeCell="B5" sqref="B5"/>
    </sheetView>
  </sheetViews>
  <sheetFormatPr baseColWidth="10"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1" spans="1:11" ht="15" customHeight="1">
      <c r="C1" t="s">
        <v>87</v>
      </c>
    </row>
    <row r="2" spans="1:11">
      <c r="B2" s="33" t="s">
        <v>66</v>
      </c>
      <c r="C2" s="29">
        <v>0.7</v>
      </c>
    </row>
    <row r="3" spans="1:11" ht="30">
      <c r="B3" s="2" t="s">
        <v>0</v>
      </c>
      <c r="C3" s="30" t="s">
        <v>1</v>
      </c>
    </row>
    <row r="4" spans="1:11">
      <c r="A4" s="3">
        <v>1</v>
      </c>
      <c r="B4" s="16" t="s">
        <v>67</v>
      </c>
      <c r="C4" s="31">
        <f>C21</f>
        <v>6</v>
      </c>
    </row>
    <row r="5" spans="1:11">
      <c r="A5" s="3">
        <v>2</v>
      </c>
      <c r="B5" s="16" t="s">
        <v>68</v>
      </c>
      <c r="C5" s="31">
        <f>C34</f>
        <v>6</v>
      </c>
    </row>
    <row r="6" spans="1:11">
      <c r="A6" s="3">
        <v>3</v>
      </c>
      <c r="B6" s="16"/>
      <c r="C6" s="31">
        <f>C47</f>
        <v>6</v>
      </c>
    </row>
    <row r="11" spans="1:11" ht="18.75" customHeight="1" outlineLevel="1">
      <c r="A11" s="52" t="s">
        <v>86</v>
      </c>
      <c r="B11" s="11" t="str">
        <f>B4</f>
        <v>MATIAS MARCHANT</v>
      </c>
      <c r="C11" s="38" t="s">
        <v>2</v>
      </c>
      <c r="D11" s="39" t="s">
        <v>3</v>
      </c>
      <c r="E11" s="40"/>
      <c r="F11" s="40"/>
      <c r="G11" s="40"/>
      <c r="H11" s="40"/>
      <c r="I11" s="40"/>
      <c r="J11" s="40"/>
      <c r="K11" s="41"/>
    </row>
    <row r="12" spans="1:11" outlineLevel="1">
      <c r="A12" s="53"/>
      <c r="B12" s="15" t="s">
        <v>4</v>
      </c>
      <c r="C12" s="37"/>
      <c r="D12" s="39" t="s">
        <v>5</v>
      </c>
      <c r="E12" s="41"/>
      <c r="F12" s="39" t="s">
        <v>6</v>
      </c>
      <c r="G12" s="41"/>
      <c r="H12" s="42" t="s">
        <v>7</v>
      </c>
      <c r="I12" s="41"/>
      <c r="J12" s="39" t="s">
        <v>8</v>
      </c>
      <c r="K12" s="41"/>
    </row>
    <row r="13" spans="1:11" ht="24" outlineLevel="1">
      <c r="A13" s="54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5</v>
      </c>
      <c r="D13" s="12"/>
      <c r="E13" s="12" t="str">
        <f>IF(D13="X",100*0.15,"")</f>
        <v/>
      </c>
      <c r="F13" s="12" t="s">
        <v>85</v>
      </c>
      <c r="G13" s="12">
        <f>IF(F13="X",60*0.15,"")</f>
        <v>9</v>
      </c>
      <c r="H13" s="12" t="str">
        <f t="shared" ref="H13:H17" si="0">IF($C13=ML,"X","")</f>
        <v/>
      </c>
      <c r="I13" s="12" t="str">
        <f>IF(H13="X",30*0.15,"")</f>
        <v/>
      </c>
      <c r="J13" s="12" t="str">
        <f t="shared" ref="J13:J17" si="1">IF($C13=NL,"X","")</f>
        <v/>
      </c>
      <c r="K13" s="12" t="str">
        <f t="shared" ref="K13:K17" si="2">IF($J13="X",0,"")</f>
        <v/>
      </c>
    </row>
    <row r="14" spans="1:11" ht="26.45" customHeight="1" outlineLevel="1">
      <c r="A14" s="54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5</v>
      </c>
      <c r="D14" s="12" t="str">
        <f t="shared" ref="D14:D16" si="3">IF($C14=CL,"X","")</f>
        <v>X</v>
      </c>
      <c r="E14" s="12">
        <f>IF(D14="X",100*0.25,"")</f>
        <v>25</v>
      </c>
      <c r="F14" s="12" t="str">
        <f t="shared" ref="F14:F16" si="4">IF($C14=L,"X","")</f>
        <v/>
      </c>
      <c r="G14" s="12" t="str">
        <f>IF(F14="X",60*0.25,"")</f>
        <v/>
      </c>
      <c r="H14" s="12" t="str">
        <f t="shared" si="0"/>
        <v/>
      </c>
      <c r="I14" s="12" t="str">
        <f>IF(H14="X",30*0.25,"")</f>
        <v/>
      </c>
      <c r="J14" s="12" t="str">
        <f t="shared" si="1"/>
        <v/>
      </c>
      <c r="K14" s="12" t="str">
        <f t="shared" si="2"/>
        <v/>
      </c>
    </row>
    <row r="15" spans="1:11" ht="24" outlineLevel="1">
      <c r="A15" s="54"/>
      <c r="B15" s="19" t="str">
        <f>RUBRICA!A6</f>
        <v>3. Responde las preguntas realizadas por la comisión, cumpliendo con los estándares de calidad de la disciplina.</v>
      </c>
      <c r="C15" s="17" t="s">
        <v>5</v>
      </c>
      <c r="D15" s="12"/>
      <c r="E15" s="12" t="str">
        <f>IF(D15="X",100*0.2,"")</f>
        <v/>
      </c>
      <c r="F15" s="12" t="s">
        <v>85</v>
      </c>
      <c r="G15" s="12">
        <f>IF(F15="X",60*0.2,"")</f>
        <v>12</v>
      </c>
      <c r="H15" s="12" t="str">
        <f t="shared" si="0"/>
        <v/>
      </c>
      <c r="I15" s="12" t="str">
        <f>IF(H15="X",30*0.2,"")</f>
        <v/>
      </c>
      <c r="J15" s="12" t="str">
        <f t="shared" si="1"/>
        <v/>
      </c>
      <c r="K15" s="12" t="str">
        <f t="shared" si="2"/>
        <v/>
      </c>
    </row>
    <row r="16" spans="1:11" ht="24" outlineLevel="1">
      <c r="A16" s="54"/>
      <c r="B16" s="19" t="str">
        <f>RUBRICA!A7</f>
        <v>4. Expone el Proyecto APT, considerando el formato y el tiempo establecido para la presentación.</v>
      </c>
      <c r="C16" s="17" t="s">
        <v>5</v>
      </c>
      <c r="D16" s="12" t="str">
        <f t="shared" si="3"/>
        <v>X</v>
      </c>
      <c r="E16" s="12">
        <f>IF(D16="X",100*0.05,"")</f>
        <v>5</v>
      </c>
      <c r="F16" s="12" t="str">
        <f t="shared" si="4"/>
        <v/>
      </c>
      <c r="G16" s="12" t="str">
        <f>IF(F16="X",60*0.05,"")</f>
        <v/>
      </c>
      <c r="H16" s="12" t="str">
        <f t="shared" si="0"/>
        <v/>
      </c>
      <c r="I16" s="12" t="str">
        <f>IF(H16="X",30*0.05,"")</f>
        <v/>
      </c>
      <c r="J16" s="12" t="str">
        <f t="shared" si="1"/>
        <v/>
      </c>
      <c r="K16" s="12" t="str">
        <f t="shared" si="2"/>
        <v/>
      </c>
    </row>
    <row r="17" spans="1:11" ht="24" outlineLevel="1">
      <c r="A17" s="54"/>
      <c r="B17" s="19" t="str">
        <f>RUBRICA!A8</f>
        <v>5. Expresa sus ideas con fluidez, claridad y precisión, utilizando lenguaje técnico propio de la disciplina.</v>
      </c>
      <c r="C17" s="17" t="s">
        <v>5</v>
      </c>
      <c r="D17" s="12" t="s">
        <v>85</v>
      </c>
      <c r="E17" s="12">
        <f>IF(D17="X",100*0.05,"")</f>
        <v>5</v>
      </c>
      <c r="F17" s="12"/>
      <c r="G17" s="12" t="str">
        <f>IF(F17="X",60*0.05,"")</f>
        <v/>
      </c>
      <c r="H17" s="12" t="str">
        <f t="shared" si="0"/>
        <v/>
      </c>
      <c r="I17" s="12" t="str">
        <f>IF(H17="X",30*0.05,"")</f>
        <v/>
      </c>
      <c r="J17" s="12" t="str">
        <f t="shared" si="1"/>
        <v/>
      </c>
      <c r="K17" s="12" t="str">
        <f t="shared" si="2"/>
        <v/>
      </c>
    </row>
    <row r="18" spans="1:11" ht="36" outlineLevel="1">
      <c r="A18" s="54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5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5">IF($J18="X",0,"")</f>
        <v/>
      </c>
    </row>
    <row r="19" spans="1:11" ht="24" outlineLevel="1">
      <c r="A19" s="54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5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5"/>
        <v/>
      </c>
    </row>
    <row r="20" spans="1:11" ht="15.75" customHeight="1" outlineLevel="1">
      <c r="A20" s="53"/>
      <c r="B20" s="18" t="s">
        <v>9</v>
      </c>
      <c r="C20" s="22">
        <f>E20+G20+I20+K20</f>
        <v>86</v>
      </c>
      <c r="D20" s="13"/>
      <c r="E20" s="13">
        <f>SUM(E13:E19)</f>
        <v>65</v>
      </c>
      <c r="F20" s="13"/>
      <c r="G20" s="13">
        <f>SUM(G13:G19)</f>
        <v>21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5"/>
      <c r="B21" s="21" t="s">
        <v>10</v>
      </c>
      <c r="C21" s="14">
        <f>VLOOKUP(C20,ESCALA_IEP!A2:B202,2,FALSE)</f>
        <v>6</v>
      </c>
    </row>
    <row r="22" spans="1:11" ht="15.75" customHeight="1"/>
    <row r="23" spans="1:11" ht="15.75" customHeight="1"/>
    <row r="24" spans="1:11" ht="24" customHeight="1">
      <c r="A24" s="52" t="s">
        <v>86</v>
      </c>
      <c r="B24" s="11" t="str">
        <f>B5</f>
        <v>ADAN SAGURIE</v>
      </c>
      <c r="C24" s="38" t="s">
        <v>2</v>
      </c>
      <c r="D24" s="39" t="s">
        <v>3</v>
      </c>
      <c r="E24" s="40"/>
      <c r="F24" s="40"/>
      <c r="G24" s="40"/>
      <c r="H24" s="40"/>
      <c r="I24" s="40"/>
      <c r="J24" s="40"/>
      <c r="K24" s="41"/>
    </row>
    <row r="25" spans="1:11" ht="24" customHeight="1">
      <c r="A25" s="53"/>
      <c r="B25" s="15" t="s">
        <v>4</v>
      </c>
      <c r="C25" s="37"/>
      <c r="D25" s="39" t="s">
        <v>5</v>
      </c>
      <c r="E25" s="41"/>
      <c r="F25" s="39" t="s">
        <v>6</v>
      </c>
      <c r="G25" s="41"/>
      <c r="H25" s="42" t="s">
        <v>7</v>
      </c>
      <c r="I25" s="41"/>
      <c r="J25" s="39" t="s">
        <v>8</v>
      </c>
      <c r="K25" s="41"/>
    </row>
    <row r="26" spans="1:11" ht="24" customHeight="1">
      <c r="A26" s="54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5</v>
      </c>
      <c r="D26" s="12"/>
      <c r="E26" s="12" t="str">
        <f>IF(D26="X",100*0.15,"")</f>
        <v/>
      </c>
      <c r="F26" s="12" t="s">
        <v>85</v>
      </c>
      <c r="G26" s="12">
        <f>IF(F26="X",60*0.15,"")</f>
        <v>9</v>
      </c>
      <c r="H26" s="12" t="str">
        <f t="shared" ref="H26:H30" si="6">IF($C26=ML,"X","")</f>
        <v/>
      </c>
      <c r="I26" s="12" t="str">
        <f>IF(H26="X",30*0.15,"")</f>
        <v/>
      </c>
      <c r="J26" s="12" t="str">
        <f t="shared" ref="J26:J30" si="7">IF($C26=NL,"X","")</f>
        <v/>
      </c>
      <c r="K26" s="12" t="str">
        <f t="shared" ref="K26:K32" si="8">IF($J26="X",0,"")</f>
        <v/>
      </c>
    </row>
    <row r="27" spans="1:11" ht="24" customHeight="1">
      <c r="A27" s="54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5</v>
      </c>
      <c r="D27" s="12" t="str">
        <f t="shared" ref="D27:D29" si="9">IF($C27=CL,"X","")</f>
        <v>X</v>
      </c>
      <c r="E27" s="12">
        <f>IF(D27="X",100*0.25,"")</f>
        <v>25</v>
      </c>
      <c r="F27" s="12" t="str">
        <f t="shared" ref="F27" si="10">IF($C27=L,"X","")</f>
        <v/>
      </c>
      <c r="G27" s="12" t="str">
        <f>IF(F27="X",60*0.25,"")</f>
        <v/>
      </c>
      <c r="H27" s="12" t="str">
        <f t="shared" si="6"/>
        <v/>
      </c>
      <c r="I27" s="12" t="str">
        <f>IF(H27="X",30*0.25,"")</f>
        <v/>
      </c>
      <c r="J27" s="12" t="str">
        <f t="shared" si="7"/>
        <v/>
      </c>
      <c r="K27" s="12" t="str">
        <f t="shared" si="8"/>
        <v/>
      </c>
    </row>
    <row r="28" spans="1:11" ht="24" customHeight="1">
      <c r="A28" s="54"/>
      <c r="B28" s="19" t="str">
        <f>RUBRICA!A6</f>
        <v>3. Responde las preguntas realizadas por la comisión, cumpliendo con los estándares de calidad de la disciplina.</v>
      </c>
      <c r="C28" s="17" t="s">
        <v>5</v>
      </c>
      <c r="D28" s="12"/>
      <c r="E28" s="12" t="str">
        <f>IF(D28="X",100*0.2,"")</f>
        <v/>
      </c>
      <c r="F28" s="12" t="s">
        <v>85</v>
      </c>
      <c r="G28" s="12">
        <f>IF(F28="X",60*0.2,"")</f>
        <v>12</v>
      </c>
      <c r="H28" s="12" t="str">
        <f t="shared" si="6"/>
        <v/>
      </c>
      <c r="I28" s="12" t="str">
        <f>IF(H28="X",30*0.2,"")</f>
        <v/>
      </c>
      <c r="J28" s="12" t="str">
        <f t="shared" si="7"/>
        <v/>
      </c>
      <c r="K28" s="12" t="str">
        <f t="shared" si="8"/>
        <v/>
      </c>
    </row>
    <row r="29" spans="1:11" ht="24" customHeight="1">
      <c r="A29" s="54"/>
      <c r="B29" s="19" t="str">
        <f>RUBRICA!A7</f>
        <v>4. Expone el Proyecto APT, considerando el formato y el tiempo establecido para la presentación.</v>
      </c>
      <c r="C29" s="17" t="s">
        <v>5</v>
      </c>
      <c r="D29" s="12" t="str">
        <f t="shared" si="9"/>
        <v>X</v>
      </c>
      <c r="E29" s="12">
        <f>IF(D29="X",100*0.05,"")</f>
        <v>5</v>
      </c>
      <c r="F29" s="12" t="str">
        <f t="shared" ref="F29:F30" si="11">IF($C29=L,"X","")</f>
        <v/>
      </c>
      <c r="G29" s="12" t="str">
        <f>IF(F29="X",60*0.05,"")</f>
        <v/>
      </c>
      <c r="H29" s="12" t="str">
        <f t="shared" si="6"/>
        <v/>
      </c>
      <c r="I29" s="12" t="str">
        <f>IF(H29="X",30*0.05,"")</f>
        <v/>
      </c>
      <c r="J29" s="12" t="str">
        <f t="shared" si="7"/>
        <v/>
      </c>
      <c r="K29" s="12" t="str">
        <f t="shared" si="8"/>
        <v/>
      </c>
    </row>
    <row r="30" spans="1:11" ht="24" customHeight="1">
      <c r="A30" s="54"/>
      <c r="B30" s="19" t="str">
        <f>RUBRICA!A8</f>
        <v>5. Expresa sus ideas con fluidez, claridad y precisión, utilizando lenguaje técnico propio de la disciplina.</v>
      </c>
      <c r="C30" s="17" t="s">
        <v>5</v>
      </c>
      <c r="D30" s="12" t="s">
        <v>85</v>
      </c>
      <c r="E30" s="12">
        <f>IF(D30="X",100*0.05,"")</f>
        <v>5</v>
      </c>
      <c r="F30" s="12" t="str">
        <f t="shared" si="11"/>
        <v/>
      </c>
      <c r="G30" s="12" t="str">
        <f>IF(F30="X",60*0.05,"")</f>
        <v/>
      </c>
      <c r="H30" s="12" t="str">
        <f t="shared" si="6"/>
        <v/>
      </c>
      <c r="I30" s="12" t="str">
        <f>IF(H30="X",30*0.05,"")</f>
        <v/>
      </c>
      <c r="J30" s="12" t="str">
        <f t="shared" si="7"/>
        <v/>
      </c>
      <c r="K30" s="12" t="str">
        <f t="shared" si="8"/>
        <v/>
      </c>
    </row>
    <row r="31" spans="1:11" ht="24" customHeight="1">
      <c r="A31" s="54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5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8"/>
        <v/>
      </c>
    </row>
    <row r="32" spans="1:11" ht="24" customHeight="1">
      <c r="A32" s="54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5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8"/>
        <v/>
      </c>
    </row>
    <row r="33" spans="1:11" ht="24" customHeight="1">
      <c r="A33" s="53"/>
      <c r="B33" s="18" t="s">
        <v>9</v>
      </c>
      <c r="C33" s="22">
        <f>E33+G33+I33+K33</f>
        <v>86</v>
      </c>
      <c r="D33" s="13"/>
      <c r="E33" s="13">
        <f>SUM(E26:E32)</f>
        <v>65</v>
      </c>
      <c r="F33" s="13"/>
      <c r="G33" s="13">
        <f>SUM(G26:G32)</f>
        <v>21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55"/>
      <c r="B34" s="21" t="s">
        <v>10</v>
      </c>
      <c r="C34" s="14">
        <f>VLOOKUP(C33,ESCALA_IEP!A15:B215,2,FALSE)</f>
        <v>6</v>
      </c>
    </row>
    <row r="35" spans="1:11" ht="16.149999999999999" customHeight="1"/>
    <row r="36" spans="1:11" ht="13.9" customHeight="1"/>
    <row r="37" spans="1:11" ht="24" customHeight="1">
      <c r="A37" s="52" t="s">
        <v>86</v>
      </c>
      <c r="B37" s="11">
        <f>B6</f>
        <v>0</v>
      </c>
      <c r="C37" s="38" t="s">
        <v>2</v>
      </c>
      <c r="D37" s="39" t="s">
        <v>3</v>
      </c>
      <c r="E37" s="40"/>
      <c r="F37" s="40"/>
      <c r="G37" s="40"/>
      <c r="H37" s="40"/>
      <c r="I37" s="40"/>
      <c r="J37" s="40"/>
      <c r="K37" s="41"/>
    </row>
    <row r="38" spans="1:11" ht="24" customHeight="1">
      <c r="A38" s="53"/>
      <c r="B38" s="15" t="s">
        <v>4</v>
      </c>
      <c r="C38" s="37"/>
      <c r="D38" s="39" t="s">
        <v>5</v>
      </c>
      <c r="E38" s="41"/>
      <c r="F38" s="39" t="s">
        <v>6</v>
      </c>
      <c r="G38" s="41"/>
      <c r="H38" s="42" t="s">
        <v>7</v>
      </c>
      <c r="I38" s="41"/>
      <c r="J38" s="39" t="s">
        <v>8</v>
      </c>
      <c r="K38" s="41"/>
    </row>
    <row r="39" spans="1:11" ht="24" customHeight="1">
      <c r="A39" s="54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5</v>
      </c>
      <c r="D39" s="12"/>
      <c r="E39" s="12" t="str">
        <f>IF(D39="X",100*0.15,"")</f>
        <v/>
      </c>
      <c r="F39" s="12" t="s">
        <v>85</v>
      </c>
      <c r="G39" s="12">
        <f>IF(F39="X",60*0.15,"")</f>
        <v>9</v>
      </c>
      <c r="H39" s="12" t="str">
        <f t="shared" ref="H39:H43" si="12">IF($C39=ML,"X","")</f>
        <v/>
      </c>
      <c r="I39" s="12" t="str">
        <f>IF(H39="X",30*0.15,"")</f>
        <v/>
      </c>
      <c r="J39" s="12" t="str">
        <f t="shared" ref="J39:J43" si="13">IF($C39=NL,"X","")</f>
        <v/>
      </c>
      <c r="K39" s="12" t="str">
        <f t="shared" ref="K39:K45" si="14">IF($J39="X",0,"")</f>
        <v/>
      </c>
    </row>
    <row r="40" spans="1:11" ht="24" customHeight="1">
      <c r="A40" s="54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5</v>
      </c>
      <c r="D40" s="12" t="str">
        <f t="shared" ref="D40:D42" si="15">IF($C40=CL,"X","")</f>
        <v>X</v>
      </c>
      <c r="E40" s="12">
        <f>IF(D40="X",100*0.25,"")</f>
        <v>25</v>
      </c>
      <c r="F40" s="12" t="str">
        <f t="shared" ref="F40" si="16">IF($C40=L,"X","")</f>
        <v/>
      </c>
      <c r="G40" s="12" t="str">
        <f>IF(F40="X",60*0.25,"")</f>
        <v/>
      </c>
      <c r="H40" s="12" t="str">
        <f t="shared" si="12"/>
        <v/>
      </c>
      <c r="I40" s="12" t="str">
        <f>IF(H40="X",30*0.25,"")</f>
        <v/>
      </c>
      <c r="J40" s="12" t="str">
        <f t="shared" si="13"/>
        <v/>
      </c>
      <c r="K40" s="12" t="str">
        <f t="shared" si="14"/>
        <v/>
      </c>
    </row>
    <row r="41" spans="1:11" ht="24" customHeight="1">
      <c r="A41" s="54"/>
      <c r="B41" s="19" t="str">
        <f>RUBRICA!A6</f>
        <v>3. Responde las preguntas realizadas por la comisión, cumpliendo con los estándares de calidad de la disciplina.</v>
      </c>
      <c r="C41" s="17" t="s">
        <v>5</v>
      </c>
      <c r="D41" s="12"/>
      <c r="E41" s="12" t="str">
        <f>IF(D41="X",100*0.2,"")</f>
        <v/>
      </c>
      <c r="F41" s="12" t="s">
        <v>85</v>
      </c>
      <c r="G41" s="12">
        <f>IF(F41="X",60*0.2,"")</f>
        <v>12</v>
      </c>
      <c r="H41" s="12" t="str">
        <f t="shared" si="12"/>
        <v/>
      </c>
      <c r="I41" s="12" t="str">
        <f>IF(H41="X",30*0.2,"")</f>
        <v/>
      </c>
      <c r="J41" s="12" t="str">
        <f t="shared" si="13"/>
        <v/>
      </c>
      <c r="K41" s="12" t="str">
        <f t="shared" si="14"/>
        <v/>
      </c>
    </row>
    <row r="42" spans="1:11" ht="24" customHeight="1">
      <c r="A42" s="54"/>
      <c r="B42" s="19" t="str">
        <f>RUBRICA!A7</f>
        <v>4. Expone el Proyecto APT, considerando el formato y el tiempo establecido para la presentación.</v>
      </c>
      <c r="C42" s="17" t="s">
        <v>5</v>
      </c>
      <c r="D42" s="12" t="str">
        <f t="shared" si="15"/>
        <v>X</v>
      </c>
      <c r="E42" s="12">
        <f>IF(D42="X",100*0.05,"")</f>
        <v>5</v>
      </c>
      <c r="F42" s="12" t="str">
        <f t="shared" ref="F42:F43" si="17">IF($C42=L,"X","")</f>
        <v/>
      </c>
      <c r="G42" s="12" t="str">
        <f>IF(F42="X",60*0.05,"")</f>
        <v/>
      </c>
      <c r="H42" s="12" t="str">
        <f t="shared" si="12"/>
        <v/>
      </c>
      <c r="I42" s="12" t="str">
        <f>IF(H42="X",30*0.05,"")</f>
        <v/>
      </c>
      <c r="J42" s="12" t="str">
        <f t="shared" si="13"/>
        <v/>
      </c>
      <c r="K42" s="12" t="str">
        <f t="shared" si="14"/>
        <v/>
      </c>
    </row>
    <row r="43" spans="1:11" ht="24" customHeight="1">
      <c r="A43" s="54"/>
      <c r="B43" s="19" t="str">
        <f>RUBRICA!A8</f>
        <v>5. Expresa sus ideas con fluidez, claridad y precisión, utilizando lenguaje técnico propio de la disciplina.</v>
      </c>
      <c r="C43" s="17" t="s">
        <v>5</v>
      </c>
      <c r="D43" s="12" t="s">
        <v>85</v>
      </c>
      <c r="E43" s="12">
        <f>IF(D43="X",100*0.05,"")</f>
        <v>5</v>
      </c>
      <c r="F43" s="12" t="str">
        <f t="shared" si="17"/>
        <v/>
      </c>
      <c r="G43" s="12" t="str">
        <f>IF(F43="X",60*0.05,"")</f>
        <v/>
      </c>
      <c r="H43" s="12" t="str">
        <f t="shared" si="12"/>
        <v/>
      </c>
      <c r="I43" s="12" t="str">
        <f>IF(H43="X",30*0.05,"")</f>
        <v/>
      </c>
      <c r="J43" s="12" t="str">
        <f t="shared" si="13"/>
        <v/>
      </c>
      <c r="K43" s="12" t="str">
        <f t="shared" si="14"/>
        <v/>
      </c>
    </row>
    <row r="44" spans="1:11" ht="24" customHeight="1">
      <c r="A44" s="54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5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4"/>
        <v/>
      </c>
    </row>
    <row r="45" spans="1:11" ht="24" customHeight="1">
      <c r="A45" s="54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5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4"/>
        <v/>
      </c>
    </row>
    <row r="46" spans="1:11" ht="24" customHeight="1">
      <c r="A46" s="53"/>
      <c r="B46" s="18" t="s">
        <v>9</v>
      </c>
      <c r="C46" s="22">
        <f>E46+G46+I46+K46</f>
        <v>86</v>
      </c>
      <c r="D46" s="13"/>
      <c r="E46" s="13">
        <f>SUM(E39:E45)</f>
        <v>65</v>
      </c>
      <c r="F46" s="13"/>
      <c r="G46" s="13">
        <f>SUM(G39:G45)</f>
        <v>21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5"/>
      <c r="B47" s="21" t="s">
        <v>10</v>
      </c>
      <c r="C47" s="14">
        <f>VLOOKUP(C46,ESCALA_IEP!A28:B228,2,FALSE)</f>
        <v>6</v>
      </c>
    </row>
    <row r="48" spans="1:11" ht="15.75" customHeight="1"/>
    <row r="49" spans="2:2" ht="15.75" customHeight="1"/>
    <row r="50" spans="2:2" ht="15.75" customHeight="1"/>
    <row r="51" spans="2:2" ht="15.75" customHeight="1">
      <c r="B51" s="34" t="s">
        <v>65</v>
      </c>
    </row>
    <row r="52" spans="2:2" ht="15.75" customHeight="1">
      <c r="B52" t="s">
        <v>71</v>
      </c>
    </row>
    <row r="53" spans="2:2" ht="15.75" customHeight="1">
      <c r="B53" s="34" t="s">
        <v>69</v>
      </c>
    </row>
    <row r="54" spans="2:2" ht="15.75" customHeight="1">
      <c r="B54" t="s">
        <v>57</v>
      </c>
    </row>
    <row r="55" spans="2:2" ht="15.75" customHeight="1">
      <c r="B55" t="s">
        <v>70</v>
      </c>
    </row>
    <row r="56" spans="2:2" ht="15.75" customHeight="1">
      <c r="B56" s="34" t="s">
        <v>72</v>
      </c>
    </row>
    <row r="57" spans="2:2" ht="15.75" customHeight="1">
      <c r="B57" s="34" t="s">
        <v>73</v>
      </c>
    </row>
    <row r="58" spans="2:2" ht="15.75" customHeight="1">
      <c r="B58" s="34" t="s">
        <v>84</v>
      </c>
    </row>
    <row r="59" spans="2:2" ht="15.75" customHeight="1">
      <c r="B59" s="34" t="s">
        <v>58</v>
      </c>
    </row>
    <row r="60" spans="2:2" ht="15.75" customHeight="1">
      <c r="B60" s="34" t="s">
        <v>74</v>
      </c>
    </row>
    <row r="61" spans="2:2" ht="15.75" customHeight="1">
      <c r="B61" s="34" t="s">
        <v>76</v>
      </c>
    </row>
    <row r="62" spans="2:2" ht="15.75" customHeight="1">
      <c r="B62" s="34" t="s">
        <v>83</v>
      </c>
    </row>
    <row r="63" spans="2:2" ht="15.75" customHeight="1">
      <c r="B63" s="34" t="s">
        <v>75</v>
      </c>
    </row>
    <row r="64" spans="2:2" ht="15.75" customHeight="1">
      <c r="B64" s="34" t="s">
        <v>59</v>
      </c>
    </row>
    <row r="65" spans="2:2" ht="15.75" customHeight="1">
      <c r="B65" s="34" t="s">
        <v>77</v>
      </c>
    </row>
    <row r="66" spans="2:2" ht="15.75" customHeight="1">
      <c r="B66" s="34" t="s">
        <v>63</v>
      </c>
    </row>
    <row r="67" spans="2:2" ht="15.75" customHeight="1">
      <c r="B67" s="34" t="s">
        <v>62</v>
      </c>
    </row>
    <row r="68" spans="2:2" ht="15.75" customHeight="1">
      <c r="B68" s="36" t="s">
        <v>82</v>
      </c>
    </row>
    <row r="69" spans="2:2" ht="15.75" customHeight="1">
      <c r="B69" s="36" t="s">
        <v>60</v>
      </c>
    </row>
    <row r="70" spans="2:2" ht="15.75" customHeight="1">
      <c r="B70" s="36" t="s">
        <v>61</v>
      </c>
    </row>
    <row r="71" spans="2:2" ht="15.75" customHeight="1">
      <c r="B71" s="34" t="s">
        <v>64</v>
      </c>
    </row>
    <row r="72" spans="2:2" ht="15.75" customHeight="1">
      <c r="B72" s="34" t="s">
        <v>81</v>
      </c>
    </row>
    <row r="73" spans="2:2" ht="15.75" customHeight="1">
      <c r="B73" s="36" t="s">
        <v>79</v>
      </c>
    </row>
    <row r="74" spans="2:2" ht="15.75" customHeight="1">
      <c r="B74" s="36" t="s">
        <v>80</v>
      </c>
    </row>
    <row r="75" spans="2:2" ht="15.75" customHeight="1">
      <c r="B75" s="36" t="s">
        <v>78</v>
      </c>
    </row>
    <row r="76" spans="2:2" ht="15.75" customHeight="1"/>
    <row r="77" spans="2:2" ht="15.75" customHeight="1">
      <c r="B77" s="35"/>
    </row>
    <row r="78" spans="2:2" ht="15.75" customHeight="1"/>
    <row r="79" spans="2:2" ht="15.75" customHeight="1"/>
    <row r="80" spans="2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</sheetData>
  <mergeCells count="21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D24:K24"/>
    <mergeCell ref="D25:E25"/>
    <mergeCell ref="F25:G25"/>
    <mergeCell ref="H25:I25"/>
    <mergeCell ref="J25:K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>
      <formula1>1</formula1>
      <formula2>7</formula2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'RELEVANCIA-PUNTAJE'!$B$2:$E$2</xm:f>
          </x14:formula1>
          <xm:sqref>C13:C19 C26:C32 C39:C45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>
      <c r="A1" s="43" t="s">
        <v>11</v>
      </c>
      <c r="B1" s="45" t="s">
        <v>12</v>
      </c>
      <c r="C1" s="46"/>
      <c r="D1" s="46"/>
      <c r="E1" s="47"/>
      <c r="F1" s="43" t="s">
        <v>13</v>
      </c>
    </row>
    <row r="2" spans="1:6">
      <c r="A2" s="44"/>
      <c r="B2" s="48" t="s">
        <v>14</v>
      </c>
      <c r="C2" s="48" t="s">
        <v>15</v>
      </c>
      <c r="D2" s="25" t="s">
        <v>16</v>
      </c>
      <c r="E2" s="26" t="s">
        <v>8</v>
      </c>
      <c r="F2" s="44"/>
    </row>
    <row r="3" spans="1:6">
      <c r="A3" s="44"/>
      <c r="B3" s="49"/>
      <c r="C3" s="49"/>
      <c r="D3" s="27">
        <v>0.3</v>
      </c>
      <c r="E3" s="27">
        <v>0</v>
      </c>
      <c r="F3" s="44"/>
    </row>
    <row r="4" spans="1:6" ht="102">
      <c r="A4" s="23" t="s">
        <v>17</v>
      </c>
      <c r="B4" s="23" t="s">
        <v>18</v>
      </c>
      <c r="C4" s="23" t="s">
        <v>19</v>
      </c>
      <c r="D4" s="23" t="s">
        <v>20</v>
      </c>
      <c r="E4" s="23" t="s">
        <v>21</v>
      </c>
      <c r="F4" s="28">
        <v>15</v>
      </c>
    </row>
    <row r="5" spans="1:6" ht="136.9" customHeight="1">
      <c r="A5" s="23" t="s">
        <v>22</v>
      </c>
      <c r="B5" s="23" t="s">
        <v>23</v>
      </c>
      <c r="C5" s="23" t="s">
        <v>24</v>
      </c>
      <c r="D5" s="23" t="s">
        <v>25</v>
      </c>
      <c r="E5" s="23" t="s">
        <v>26</v>
      </c>
      <c r="F5" s="28">
        <v>25</v>
      </c>
    </row>
    <row r="6" spans="1:6" ht="87" customHeight="1">
      <c r="A6" s="23" t="s">
        <v>27</v>
      </c>
      <c r="B6" s="23" t="s">
        <v>28</v>
      </c>
      <c r="C6" s="23" t="s">
        <v>29</v>
      </c>
      <c r="D6" s="23" t="s">
        <v>30</v>
      </c>
      <c r="E6" s="23" t="s">
        <v>31</v>
      </c>
      <c r="F6" s="28">
        <v>20</v>
      </c>
    </row>
    <row r="7" spans="1:6" ht="89.25">
      <c r="A7" s="23" t="s">
        <v>32</v>
      </c>
      <c r="B7" s="23" t="s">
        <v>33</v>
      </c>
      <c r="C7" s="23" t="s">
        <v>34</v>
      </c>
      <c r="D7" s="23" t="s">
        <v>35</v>
      </c>
      <c r="E7" s="23" t="s">
        <v>36</v>
      </c>
      <c r="F7" s="28">
        <v>5</v>
      </c>
    </row>
    <row r="8" spans="1:6" ht="89.25">
      <c r="A8" s="23" t="s">
        <v>37</v>
      </c>
      <c r="B8" s="23" t="s">
        <v>38</v>
      </c>
      <c r="C8" s="23" t="s">
        <v>39</v>
      </c>
      <c r="D8" s="23" t="s">
        <v>40</v>
      </c>
      <c r="E8" s="23" t="s">
        <v>41</v>
      </c>
      <c r="F8" s="28">
        <v>5</v>
      </c>
    </row>
    <row r="9" spans="1:6" ht="89.25">
      <c r="A9" s="23" t="s">
        <v>42</v>
      </c>
      <c r="B9" s="23" t="s">
        <v>43</v>
      </c>
      <c r="C9" s="23" t="s">
        <v>44</v>
      </c>
      <c r="D9" s="23" t="s">
        <v>45</v>
      </c>
      <c r="E9" s="23" t="s">
        <v>46</v>
      </c>
      <c r="F9" s="24">
        <v>20</v>
      </c>
    </row>
    <row r="10" spans="1:6" ht="126" customHeight="1">
      <c r="A10" s="23" t="s">
        <v>47</v>
      </c>
      <c r="B10" s="23" t="s">
        <v>48</v>
      </c>
      <c r="C10" s="23" t="s">
        <v>49</v>
      </c>
      <c r="D10" s="23" t="s">
        <v>50</v>
      </c>
      <c r="E10" s="23" t="s">
        <v>51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179" workbookViewId="0">
      <selection sqref="A1:B20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9</v>
      </c>
      <c r="B1" t="s">
        <v>10</v>
      </c>
    </row>
    <row r="2" spans="1:2">
      <c r="A2">
        <v>0</v>
      </c>
      <c r="B2">
        <v>1</v>
      </c>
    </row>
    <row r="3" spans="1:2">
      <c r="A3">
        <v>0.5</v>
      </c>
      <c r="B3">
        <v>1</v>
      </c>
    </row>
    <row r="4" spans="1:2">
      <c r="A4">
        <v>1</v>
      </c>
      <c r="B4">
        <v>1.1000000000000001</v>
      </c>
    </row>
    <row r="5" spans="1:2">
      <c r="A5">
        <v>1.5</v>
      </c>
      <c r="B5">
        <v>1.1000000000000001</v>
      </c>
    </row>
    <row r="6" spans="1:2">
      <c r="A6">
        <v>2</v>
      </c>
      <c r="B6">
        <v>1.1000000000000001</v>
      </c>
    </row>
    <row r="7" spans="1:2">
      <c r="A7">
        <v>2.5</v>
      </c>
      <c r="B7">
        <v>1.1000000000000001</v>
      </c>
    </row>
    <row r="8" spans="1:2">
      <c r="A8">
        <v>3</v>
      </c>
      <c r="B8">
        <v>1.2</v>
      </c>
    </row>
    <row r="9" spans="1:2">
      <c r="A9">
        <v>3.5</v>
      </c>
      <c r="B9">
        <v>1.2</v>
      </c>
    </row>
    <row r="10" spans="1:2">
      <c r="A10">
        <v>4</v>
      </c>
      <c r="B10">
        <v>1.2</v>
      </c>
    </row>
    <row r="11" spans="1:2">
      <c r="A11">
        <v>4.5</v>
      </c>
      <c r="B11">
        <v>1.2</v>
      </c>
    </row>
    <row r="12" spans="1:2">
      <c r="A12">
        <v>5</v>
      </c>
      <c r="B12">
        <v>1.3</v>
      </c>
    </row>
    <row r="13" spans="1:2">
      <c r="A13">
        <v>5.5</v>
      </c>
      <c r="B13">
        <v>1.3</v>
      </c>
    </row>
    <row r="14" spans="1:2">
      <c r="A14">
        <v>6</v>
      </c>
      <c r="B14">
        <v>1.3</v>
      </c>
    </row>
    <row r="15" spans="1:2">
      <c r="A15">
        <v>6.5</v>
      </c>
      <c r="B15">
        <v>1.3</v>
      </c>
    </row>
    <row r="16" spans="1:2">
      <c r="A16">
        <v>7</v>
      </c>
      <c r="B16">
        <v>1.4</v>
      </c>
    </row>
    <row r="17" spans="1:2">
      <c r="A17">
        <v>7.5</v>
      </c>
      <c r="B17">
        <v>1.4</v>
      </c>
    </row>
    <row r="18" spans="1:2">
      <c r="A18">
        <v>8</v>
      </c>
      <c r="B18">
        <v>1.4</v>
      </c>
    </row>
    <row r="19" spans="1:2">
      <c r="A19">
        <v>8.5</v>
      </c>
      <c r="B19">
        <v>1.4</v>
      </c>
    </row>
    <row r="20" spans="1:2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52</v>
      </c>
      <c r="B1" t="s">
        <v>53</v>
      </c>
    </row>
    <row r="2" spans="1:2">
      <c r="A2">
        <v>0</v>
      </c>
      <c r="B2" s="1">
        <v>1</v>
      </c>
    </row>
    <row r="3" spans="1:2">
      <c r="A3">
        <v>1</v>
      </c>
      <c r="B3" s="1">
        <v>1.1000000000000001</v>
      </c>
    </row>
    <row r="4" spans="1:2">
      <c r="A4">
        <v>2</v>
      </c>
      <c r="B4" s="1">
        <v>1.2</v>
      </c>
    </row>
    <row r="5" spans="1:2">
      <c r="A5">
        <v>3</v>
      </c>
      <c r="B5" s="1">
        <v>1.3</v>
      </c>
    </row>
    <row r="6" spans="1:2">
      <c r="A6">
        <v>4</v>
      </c>
      <c r="B6" s="1">
        <v>1.4</v>
      </c>
    </row>
    <row r="7" spans="1:2">
      <c r="A7">
        <v>5</v>
      </c>
      <c r="B7" s="1">
        <v>1.5</v>
      </c>
    </row>
    <row r="8" spans="1:2">
      <c r="A8">
        <v>6</v>
      </c>
      <c r="B8" s="1">
        <v>1.6</v>
      </c>
    </row>
    <row r="9" spans="1:2">
      <c r="A9">
        <v>7</v>
      </c>
      <c r="B9" s="1">
        <v>1.7</v>
      </c>
    </row>
    <row r="10" spans="1:2">
      <c r="A10">
        <v>8</v>
      </c>
      <c r="B10" s="1">
        <v>1.8</v>
      </c>
    </row>
    <row r="11" spans="1:2">
      <c r="A11">
        <v>9</v>
      </c>
      <c r="B11" s="1">
        <v>1.9</v>
      </c>
    </row>
    <row r="12" spans="1:2">
      <c r="A12">
        <v>10</v>
      </c>
      <c r="B12" s="1">
        <v>2</v>
      </c>
    </row>
    <row r="13" spans="1:2">
      <c r="A13">
        <v>11</v>
      </c>
      <c r="B13" s="1">
        <v>2.1</v>
      </c>
    </row>
    <row r="14" spans="1:2">
      <c r="A14">
        <v>12</v>
      </c>
      <c r="B14" s="1">
        <v>2.2000000000000002</v>
      </c>
    </row>
    <row r="15" spans="1:2">
      <c r="A15">
        <v>13</v>
      </c>
      <c r="B15" s="1">
        <v>2.2999999999999998</v>
      </c>
    </row>
    <row r="16" spans="1:2">
      <c r="A16">
        <v>14</v>
      </c>
      <c r="B16" s="1">
        <v>2.2999999999999998</v>
      </c>
    </row>
    <row r="17" spans="1:2">
      <c r="A17">
        <v>15</v>
      </c>
      <c r="B17" s="1">
        <v>2.4</v>
      </c>
    </row>
    <row r="18" spans="1:2">
      <c r="A18">
        <v>16</v>
      </c>
      <c r="B18" s="1">
        <v>2.5</v>
      </c>
    </row>
    <row r="19" spans="1:2">
      <c r="A19">
        <v>17</v>
      </c>
      <c r="B19" s="1">
        <v>2.6</v>
      </c>
    </row>
    <row r="20" spans="1:2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9</v>
      </c>
      <c r="B1" t="s">
        <v>10</v>
      </c>
    </row>
    <row r="2" spans="1:2">
      <c r="A2">
        <v>0</v>
      </c>
      <c r="B2">
        <v>1</v>
      </c>
    </row>
    <row r="3" spans="1:2">
      <c r="A3">
        <v>0.5</v>
      </c>
      <c r="B3">
        <v>1.1000000000000001</v>
      </c>
    </row>
    <row r="4" spans="1:2">
      <c r="A4">
        <v>1</v>
      </c>
      <c r="B4">
        <v>1.3</v>
      </c>
    </row>
    <row r="5" spans="1:2">
      <c r="A5">
        <v>1.5</v>
      </c>
      <c r="B5">
        <v>1.4</v>
      </c>
    </row>
    <row r="6" spans="1:2">
      <c r="A6">
        <v>2</v>
      </c>
      <c r="B6">
        <v>1.5</v>
      </c>
    </row>
    <row r="7" spans="1:2">
      <c r="A7">
        <v>2.5</v>
      </c>
      <c r="B7">
        <v>1.6</v>
      </c>
    </row>
    <row r="8" spans="1:2">
      <c r="A8">
        <v>3</v>
      </c>
      <c r="B8">
        <v>1.8</v>
      </c>
    </row>
    <row r="9" spans="1:2">
      <c r="A9">
        <v>3.5</v>
      </c>
      <c r="B9">
        <v>1.9</v>
      </c>
    </row>
    <row r="10" spans="1:2">
      <c r="A10">
        <v>4</v>
      </c>
      <c r="B10">
        <v>2</v>
      </c>
    </row>
    <row r="11" spans="1:2">
      <c r="A11">
        <v>4.5</v>
      </c>
      <c r="B11">
        <v>2.1</v>
      </c>
    </row>
    <row r="12" spans="1:2">
      <c r="A12">
        <v>5</v>
      </c>
      <c r="B12">
        <v>2.2999999999999998</v>
      </c>
    </row>
    <row r="13" spans="1:2">
      <c r="A13">
        <v>5.5</v>
      </c>
      <c r="B13">
        <v>2.4</v>
      </c>
    </row>
    <row r="14" spans="1:2">
      <c r="A14">
        <v>6</v>
      </c>
      <c r="B14">
        <v>2.5</v>
      </c>
    </row>
    <row r="15" spans="1:2">
      <c r="A15">
        <v>6.5</v>
      </c>
      <c r="B15">
        <v>2.6</v>
      </c>
    </row>
    <row r="16" spans="1:2">
      <c r="A16">
        <v>7</v>
      </c>
      <c r="B16">
        <v>2.8</v>
      </c>
    </row>
    <row r="17" spans="1:2">
      <c r="A17">
        <v>7.5</v>
      </c>
      <c r="B17">
        <v>2.9</v>
      </c>
    </row>
    <row r="18" spans="1:2">
      <c r="A18">
        <v>8</v>
      </c>
      <c r="B18">
        <v>3</v>
      </c>
    </row>
    <row r="19" spans="1:2">
      <c r="A19">
        <v>8.5</v>
      </c>
      <c r="B19">
        <v>3.1</v>
      </c>
    </row>
    <row r="20" spans="1:2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D12" sqref="D12"/>
    </sheetView>
  </sheetViews>
  <sheetFormatPr baseColWidth="10" defaultColWidth="14.42578125" defaultRowHeight="15" customHeight="1"/>
  <cols>
    <col min="1" max="25" width="10.7109375" customWidth="1"/>
  </cols>
  <sheetData>
    <row r="1" spans="1:5">
      <c r="A1" s="50" t="s">
        <v>54</v>
      </c>
      <c r="B1" s="4" t="s">
        <v>9</v>
      </c>
      <c r="C1" s="5"/>
      <c r="D1" s="5"/>
      <c r="E1" s="6"/>
    </row>
    <row r="2" spans="1:5" ht="45.75" thickBot="1">
      <c r="A2" s="51"/>
      <c r="B2" s="7" t="s">
        <v>5</v>
      </c>
      <c r="C2" s="8" t="s">
        <v>6</v>
      </c>
      <c r="D2" s="20" t="s">
        <v>55</v>
      </c>
      <c r="E2" s="32" t="s">
        <v>8</v>
      </c>
    </row>
    <row r="3" spans="1:5" ht="30.75" thickBot="1">
      <c r="A3" s="9" t="s">
        <v>56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>
      <c r="A4" s="9"/>
      <c r="B4" s="10"/>
      <c r="C4" s="10"/>
      <c r="D4" s="10"/>
      <c r="E4" s="10"/>
    </row>
    <row r="5" spans="1:5" ht="15.7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Prometheus</cp:lastModifiedBy>
  <cp:revision/>
  <dcterms:created xsi:type="dcterms:W3CDTF">2023-08-07T04:08:01Z</dcterms:created>
  <dcterms:modified xsi:type="dcterms:W3CDTF">2025-12-12T03:31:02Z</dcterms:modified>
  <cp:category/>
  <cp:contentStatus/>
</cp:coreProperties>
</file>